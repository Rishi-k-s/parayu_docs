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rayu\"/>
    </mc:Choice>
  </mc:AlternateContent>
  <xr:revisionPtr revIDLastSave="0" documentId="8_{9952084B-D009-4A69-A604-2CD8E4F544C8}" xr6:coauthVersionLast="47" xr6:coauthVersionMax="47" xr10:uidLastSave="{00000000-0000-0000-0000-000000000000}"/>
  <bookViews>
    <workbookView xWindow="-120" yWindow="-120" windowWidth="29040" windowHeight="15720" activeTab="1" xr2:uid="{139D92A8-896E-4BED-8CE5-422E640CE800}"/>
  </bookViews>
  <sheets>
    <sheet name="main" sheetId="1" r:id="rId1"/>
    <sheet name="cost effective" sheetId="3" r:id="rId2"/>
    <sheet name="Consideration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9" i="3" l="1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M21" i="1"/>
  <c r="M27" i="1" s="1"/>
  <c r="M17" i="1"/>
  <c r="M15" i="1"/>
  <c r="M16" i="1"/>
  <c r="M18" i="1"/>
  <c r="M19" i="1"/>
  <c r="M20" i="1"/>
  <c r="M21" i="2"/>
  <c r="M3" i="2"/>
  <c r="M2" i="2"/>
  <c r="M10" i="1"/>
  <c r="M11" i="1"/>
  <c r="M12" i="1"/>
  <c r="M13" i="1"/>
  <c r="M14" i="1"/>
  <c r="M4" i="1"/>
  <c r="M5" i="1"/>
  <c r="M6" i="1"/>
  <c r="M7" i="1"/>
  <c r="M8" i="1"/>
  <c r="M9" i="1"/>
  <c r="M2" i="1"/>
  <c r="M3" i="1"/>
  <c r="M25" i="3" l="1"/>
</calcChain>
</file>

<file path=xl/sharedStrings.xml><?xml version="1.0" encoding="utf-8"?>
<sst xmlns="http://schemas.openxmlformats.org/spreadsheetml/2006/main" count="297" uniqueCount="129">
  <si>
    <t>Item</t>
  </si>
  <si>
    <t>Quantity</t>
  </si>
  <si>
    <t>Value</t>
  </si>
  <si>
    <t>Designator</t>
  </si>
  <si>
    <t>Description</t>
  </si>
  <si>
    <t>Manufacturer</t>
  </si>
  <si>
    <t>Manufacturer Part Number</t>
  </si>
  <si>
    <t>Supplier Part Number</t>
  </si>
  <si>
    <t>Package</t>
  </si>
  <si>
    <t>Sno</t>
  </si>
  <si>
    <t>Product URL</t>
  </si>
  <si>
    <t>ESP32-S3-WROOM-1-N16R8</t>
  </si>
  <si>
    <t>https://www.digikey.in/en/products/detail/espressif-systems/ESP32-S3-WROOM-1-N16R8/16162642</t>
  </si>
  <si>
    <t>RF TXRX MOD BT WIFI PCB TH SMD</t>
  </si>
  <si>
    <t>Espressif Systems</t>
  </si>
  <si>
    <t>5407-ESP32-S3-WROOM-1-N16R8TR-ND</t>
  </si>
  <si>
    <t>Unit Price</t>
  </si>
  <si>
    <t>Total</t>
  </si>
  <si>
    <t>MMICT5848-00-012</t>
  </si>
  <si>
    <t>BOTTOM PORT I2S DIGITAL OUTPUT M</t>
  </si>
  <si>
    <t>https://www.digikey.in/en/products/detail/tdk-invensense/MMICT5848-00-012/18634578</t>
  </si>
  <si>
    <t>TDK InvenSense</t>
  </si>
  <si>
    <t>1428-MMICT5848-00-012TR-ND</t>
  </si>
  <si>
    <t>GoldenMorning 0.91 inch 128x32 Blue OLED Display Module with I2C/IIC Serial Interface</t>
  </si>
  <si>
    <t>https://robu.in/product/0-91-inch-128x32-i2c-iic-serial-blue-oled-lcd-display-module/?gad_source=1&amp;gad_campaignid=17416544847&amp;gbraid=0AAAAADvLFWfmbNGQtAESE0d4xgU2SYP9F&amp;gclid=CjwKCAjw857RBhAgEiwAI-1yKDo4ALjvME5SADEdUhiSMWYL8KFAapnk1ZLXaEDknRG9EP3y_zMKFxoCjXMQAvD_BwE</t>
  </si>
  <si>
    <t> 0.91 inch 128x32 Blue OLED Display Module offers 128x32 pixel resolution</t>
  </si>
  <si>
    <t>GoldenMorning</t>
  </si>
  <si>
    <t>SUM</t>
  </si>
  <si>
    <t>MCP1700T-1802E/TT</t>
  </si>
  <si>
    <t>https://www.digikey.in/en/products/detail/microchip-technology/MCP1700T-1802E-TT/652671</t>
  </si>
  <si>
    <t>IC REG LINEAR 1.8V 200MA SOT23-3</t>
  </si>
  <si>
    <t>Microchip Technology</t>
  </si>
  <si>
    <t>SOT-23-3</t>
  </si>
  <si>
    <t>MCP1700T1802ETTTR-ND</t>
  </si>
  <si>
    <t>AP7365-33WG-7</t>
  </si>
  <si>
    <t>https://www.digikey.in/en/products/detail/diodes-incorporated/AP7365-33WG-7/4249847</t>
  </si>
  <si>
    <t>IC REG LINEAR 3.3V 600MA SOT-25</t>
  </si>
  <si>
    <t>Diodes Incorporated</t>
  </si>
  <si>
    <t>SOT-25</t>
  </si>
  <si>
    <t>AP7365-33WG-7DITR-ND</t>
  </si>
  <si>
    <t>BQ25185DLHR</t>
  </si>
  <si>
    <t>https://www.digikey.in/en/products/detail/texas-instruments/BQ25185DLHR/21769368?s=N4IgTCBcDaIEIEUwFYCMAOZIC6BfIA</t>
  </si>
  <si>
    <t>1-CELL, 1-A STAND-ALONE LINEAR B</t>
  </si>
  <si>
    <t>Texas Instruments</t>
  </si>
  <si>
    <t>10-WFDFN Exposed Pad</t>
  </si>
  <si>
    <t>296-BQ25185DLHRTR-ND</t>
  </si>
  <si>
    <t>BQ29700DSER</t>
  </si>
  <si>
    <t>https://www.digikey.in/en/products/detail/texas-instruments/BQ29700DSER/5973173</t>
  </si>
  <si>
    <t>IC BATT PROT LI-ION 1CELL 6WSON</t>
  </si>
  <si>
    <t>6-WFDFN</t>
  </si>
  <si>
    <t>296-43985-2-ND</t>
  </si>
  <si>
    <t>LIS2DH12TR</t>
  </si>
  <si>
    <t>https://www.digikey.in/en/products/detail/stmicroelectronics/LIS2DH12TR/4899892?s=N4IgTCBcDaIDIEkDKYAiAJAjGAKgJRAF0BfIA</t>
  </si>
  <si>
    <t>STMicroelectronics</t>
  </si>
  <si>
    <t>12-VFLGA</t>
  </si>
  <si>
    <t>497-14851-2-ND</t>
  </si>
  <si>
    <t>TXS0104EPWRG4</t>
  </si>
  <si>
    <t>https://www.digikey.in/en/products/detail/texas-instruments/TXS0104EPWRG4/1910179</t>
  </si>
  <si>
    <t>IC XLTR VL BIDIR 14-TSSOP, level shifter</t>
  </si>
  <si>
    <t>ACCEL 2-16G I2C/SPI 12LGA, accelerometer</t>
  </si>
  <si>
    <t>14-TSSOP (0.173", 4.40mm Width)</t>
  </si>
  <si>
    <t>296-52841-2-ND</t>
  </si>
  <si>
    <t>USBLC6-2SC6</t>
  </si>
  <si>
    <t>https://www.digikey.in/en/products/detail/shenzhen-slkormicro-semicon-co-ltd/USBLC6-2SC6/28143029</t>
  </si>
  <si>
    <t>6A@8/20US 13V 78W@8/20US 9V 5V S,ESD Protection</t>
  </si>
  <si>
    <t>Shenzhen Slkormicro Semicon Co., Ltd.</t>
  </si>
  <si>
    <t>SOT-23-6</t>
  </si>
  <si>
    <t>5399-USBLC6-2SC6TR-ND</t>
  </si>
  <si>
    <t>GCT</t>
  </si>
  <si>
    <t>UJ20-C-H-G-SMT-1A-P16-TR</t>
  </si>
  <si>
    <t>https://www.digikey.in/en/products/detail/same-sky-formerly-cui-devices/UJ20-C-H-G-SMT-1A-P16-TR/28173556</t>
  </si>
  <si>
    <t>USB JACK, TYPE C, 2.0, SMT, HORI</t>
  </si>
  <si>
    <t>Same Sky (Formerly CUI Devices)</t>
  </si>
  <si>
    <t>2223-UJ20-C-H-G-SMT-1A-P16-TR-ND</t>
  </si>
  <si>
    <t>0.91 Inch Monochrome Oled display Panel White 14pin</t>
  </si>
  <si>
    <t>https://robu.in/product/0-91-inch-monochrome-oled-display-panel-white-14pin-2/</t>
  </si>
  <si>
    <t>0.91-inch monochrome OLED display</t>
  </si>
  <si>
    <t>Robu</t>
  </si>
  <si>
    <t>R190601</t>
  </si>
  <si>
    <t>FFC2B28-14-G</t>
  </si>
  <si>
    <t>https://www.mouser.in/ProductDetail/GCT/FFC2B28-14-G?qs=KUoIvG%2F9IlZDTFQRsrRB6Q%3D%3D</t>
  </si>
  <si>
    <t>FFC &amp; FPC Connectors 14W,0.5mm FFC Con,R/A,Dual Cont,B/Flp,H1.0mm,Gld,SMT,T&amp;R</t>
  </si>
  <si>
    <t>640-FFC2B28-14-G</t>
  </si>
  <si>
    <t>https://michaelteeuw.nl/post/trying-out-a-barebone-oled-display</t>
  </si>
  <si>
    <t>SWT0220-016016GSA</t>
  </si>
  <si>
    <t>https://www.digikey.in/en/products/detail/gct/SWT0220-016016GSA/26753069</t>
  </si>
  <si>
    <t>TACTILE SWITCH, SPST-NO, 5.2 X 5</t>
  </si>
  <si>
    <t>2073-SWT0220-016016GSATR-ND</t>
  </si>
  <si>
    <t>XL-1615RGBC-YG</t>
  </si>
  <si>
    <t>https://robu.in/product/xl-1615rgbc-yg-xinglight-smd-4p1-6x1-5mm-rgb-leds-rohs/</t>
  </si>
  <si>
    <t>XL-1615RGBC-YG-XINGLIGHT-SMD-4P,1.6x1.5mm RGB LEDs ROHS</t>
  </si>
  <si>
    <t> XINGLIGHT</t>
  </si>
  <si>
    <t> XL-1615RGBC-YG</t>
  </si>
  <si>
    <t>NCU15XH103F60RC</t>
  </si>
  <si>
    <t>https://www.digikey.in/en/products/detail/murata-electronics/NCU15XH103F60RC/9686714</t>
  </si>
  <si>
    <t>THERMISTOR NTC 10KOHM 3380K 0402</t>
  </si>
  <si>
    <t>Murata Electronics</t>
  </si>
  <si>
    <t>0402 (1005 Metric)</t>
  </si>
  <si>
    <t>490-18149-2-ND</t>
  </si>
  <si>
    <t>0402B104J250NT</t>
  </si>
  <si>
    <t>https://robu.in/product/0402b104j250nt-fh-25v-100nf-x7r%C2%B15-0402-multilayer-ceramic-capacitors-mlcc-smd-smt-rohs/?gad_source=1&amp;gad_campaignid=17427802703&amp;gbraid=0AAAAADvLFWen83H_P0UCOJpJDdBWxZdsP&amp;gclid=CjwKCAjw857RBhAgEiwAI-1yKNizTIgTGy1dGKtjgZG22C-dQb0-s-HLYzrhsOl6iRaLDHuKrqRmcBoCyxkQAvD_BwE</t>
  </si>
  <si>
    <t>0402B104J250NT-FH -25V 100nF X7R±5% 0402 Multilayer Ceramic Capacitors MLCC - SMD/SMT ROHS</t>
  </si>
  <si>
    <t>FH</t>
  </si>
  <si>
    <t>100nF</t>
  </si>
  <si>
    <t>CC0402MRX5R5BB106</t>
  </si>
  <si>
    <t>https://robu.in/product/cc0402mrx5r5bb106-yageo-cap-smd-mlcc-10-%c2%b5f-6-3-v-0402-1005-metric-20-x5r-cc-series/</t>
  </si>
  <si>
    <t>10µF</t>
  </si>
  <si>
    <t>CC0402MRX5R5BB106 - YAGEO - MLCC SMD Capacitor - 10 uF, 6.3 V, 0402 [1005 Metric], 20%, X5R, CC Series</t>
  </si>
  <si>
    <t>YAGEO</t>
  </si>
  <si>
    <t>DMG2305UX-13</t>
  </si>
  <si>
    <t>https://www.digikey.in/en/products/detail/diodes-incorporated/DMG2305UX-13/4251560</t>
  </si>
  <si>
    <t>MOSFET P-CH 20V 4.2A SOT23</t>
  </si>
  <si>
    <t>DMG2305UX-13DITR-ND</t>
  </si>
  <si>
    <t>10KΩ</t>
  </si>
  <si>
    <t>RC0805FR-0710KL</t>
  </si>
  <si>
    <t>https://robu.in/product/rc0805fr-0710kl-yageo-res-thick-film-0805-10k-ohm-1-0-125w1-8w-%c2%b1100ppm-c-pad-smd-t-r/</t>
  </si>
  <si>
    <t>RC0805FR-0710KL-YAGEO-Res Thick Film 0805 10K Ohm 1% 0.125W(1/8W) ±100ppm/°C Pad SMD T/R</t>
  </si>
  <si>
    <t>Yageo 100k Ohm</t>
  </si>
  <si>
    <t>https://robu.in/product/yageo-100k-ohm-1-2w-0805-surface-mount-resistor-pack-of-50/</t>
  </si>
  <si>
    <t>100KΩ</t>
  </si>
  <si>
    <t>Yageo 100k Ohm 1/2W 0805 Surface Mount Resistor</t>
  </si>
  <si>
    <t>Yageo</t>
  </si>
  <si>
    <t>WLY102535</t>
  </si>
  <si>
    <t>https://robu.in/product/950mah-pcm-protected-micro-li-po-battery/</t>
  </si>
  <si>
    <t> 950mAh</t>
  </si>
  <si>
    <t>WLY102535 3.7V 950mAh 1S LiPo Battery – Micro Rechargeable Battery Pack for Wearables / Micro Drone / IoT</t>
  </si>
  <si>
    <t>generic</t>
  </si>
  <si>
    <t>TXU0204RUTR</t>
  </si>
  <si>
    <t>CC0402JRX7R8BB104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</si>
</sst>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Gilroy-Medium"/>
    </font>
    <font>
      <u/>
      <sz val="11"/>
      <color theme="10"/>
      <name val="Calibri"/>
      <family val="2"/>
      <scheme val="minor"/>
    </font>
    <font>
      <sz val="9"/>
      <color rgb="FF222222"/>
      <name val="Arial"/>
      <family val="2"/>
    </font>
    <font>
      <sz val="9"/>
      <color rgb="FF444444"/>
      <name val="Arial"/>
      <family val="2"/>
    </font>
    <font>
      <sz val="12"/>
      <color rgb="FF333333"/>
      <name val="Arial"/>
      <family val="2"/>
    </font>
    <font>
      <sz val="12"/>
      <color rgb="FF333333"/>
      <name val="Arial"/>
      <family val="2"/>
    </font>
    <font>
      <sz val="14"/>
      <color theme="1"/>
      <name val="Gilroy-Medium"/>
    </font>
    <font>
      <sz val="11"/>
      <color rgb="FF2F4858"/>
      <name val="Arial"/>
      <family val="2"/>
    </font>
    <font>
      <sz val="12"/>
      <color rgb="FF01062E"/>
      <name val="Arial"/>
      <family val="2"/>
    </font>
    <font>
      <sz val="8"/>
      <name val="Calibri"/>
      <family val="2"/>
      <scheme val="minor"/>
    </font>
    <font>
      <sz val="11"/>
      <color rgb="FF2F4858"/>
      <name val="Arial"/>
      <family val="2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2" fillId="0" borderId="0" xfId="1" applyAlignment="1"/>
    <xf numFmtId="0" fontId="2" fillId="0" borderId="0" xfId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7" fillId="2" borderId="0" xfId="0" applyFont="1" applyFill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3" fillId="4" borderId="0" xfId="3"/>
    <xf numFmtId="0" fontId="13" fillId="4" borderId="0" xfId="3" applyAlignment="1">
      <alignment wrapText="1"/>
    </xf>
    <xf numFmtId="0" fontId="12" fillId="3" borderId="0" xfId="2" applyAlignment="1">
      <alignment wrapText="1"/>
    </xf>
  </cellXfs>
  <cellStyles count="4">
    <cellStyle name="Bad" xfId="2" builtinId="27"/>
    <cellStyle name="Hyperlink" xfId="1" builtinId="8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in/en/products/detail/stmicroelectronics/LIS2DH12TR/4899892?s=N4IgTCBcDaIDIEkDKYAiAJAjGAKgJRAF0BfIA" TargetMode="External"/><Relationship Id="rId13" Type="http://schemas.openxmlformats.org/officeDocument/2006/relationships/hyperlink" Target="https://robu.in/product/xl-1615rgbc-yg-xinglight-smd-4p1-6x1-5mm-rgb-leds-rohs/" TargetMode="External"/><Relationship Id="rId18" Type="http://schemas.openxmlformats.org/officeDocument/2006/relationships/hyperlink" Target="https://robu.in/product/yageo-100k-ohm-1-2w-0805-surface-mount-resistor-pack-of-50/" TargetMode="External"/><Relationship Id="rId3" Type="http://schemas.openxmlformats.org/officeDocument/2006/relationships/hyperlink" Target="https://robu.in/product/0-91-inch-128x32-i2c-iic-serial-blue-oled-lcd-display-module/?gad_source=1&amp;gad_campaignid=17416544847&amp;gbraid=0AAAAADvLFWfmbNGQtAESE0d4xgU2SYP9F&amp;gclid=CjwKCAjw857RBhAgEiwAI-1yKDo4ALjvME5SADEdUhiSMWYL8KFAapnk1ZLXaEDknRG9EP3y_zMKFxoCjXMQAvD_BwE" TargetMode="External"/><Relationship Id="rId7" Type="http://schemas.openxmlformats.org/officeDocument/2006/relationships/hyperlink" Target="https://www.digikey.in/en/products/detail/texas-instruments/BQ29700DSER/5973173" TargetMode="External"/><Relationship Id="rId12" Type="http://schemas.openxmlformats.org/officeDocument/2006/relationships/hyperlink" Target="https://www.digikey.in/en/products/detail/gct/SWT0220-016016GSA/26753069" TargetMode="External"/><Relationship Id="rId17" Type="http://schemas.openxmlformats.org/officeDocument/2006/relationships/hyperlink" Target="https://www.digikey.in/en/products/detail/diodes-incorporated/DMG2305UX-13/4251560" TargetMode="External"/><Relationship Id="rId2" Type="http://schemas.openxmlformats.org/officeDocument/2006/relationships/hyperlink" Target="https://www.digikey.in/en/products/detail/tdk-invensense/MMICT5848-00-012/18634578" TargetMode="External"/><Relationship Id="rId16" Type="http://schemas.openxmlformats.org/officeDocument/2006/relationships/hyperlink" Target="https://robu.in/product/cc0402mrx5r5bb106-yageo-cap-smd-mlcc-10-%c2%b5f-6-3-v-0402-1005-metric-20-x5r-cc-series/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www.digikey.in/en/products/detail/espressif-systems/ESP32-S3-WROOM-1-N16R8/16162642" TargetMode="External"/><Relationship Id="rId6" Type="http://schemas.openxmlformats.org/officeDocument/2006/relationships/hyperlink" Target="https://www.digikey.in/en/products/detail/texas-instruments/BQ25185DLHR/21769368?s=N4IgTCBcDaIEIEUwFYCMAOZIC6BfIA" TargetMode="External"/><Relationship Id="rId11" Type="http://schemas.openxmlformats.org/officeDocument/2006/relationships/hyperlink" Target="https://www.digikey.in/en/products/detail/same-sky-formerly-cui-devices/UJ20-C-H-G-SMT-1A-P16-TR/28173556" TargetMode="External"/><Relationship Id="rId5" Type="http://schemas.openxmlformats.org/officeDocument/2006/relationships/hyperlink" Target="https://www.digikey.in/en/products/detail/diodes-incorporated/AP7365-33WG-7/4249847" TargetMode="External"/><Relationship Id="rId15" Type="http://schemas.openxmlformats.org/officeDocument/2006/relationships/hyperlink" Target="https://robu.in/product/0402b104j250nt-fh-25v-100nf-x7r%C2%B15-0402-multilayer-ceramic-capacitors-mlcc-smd-smt-rohs/?gad_source=1&amp;gad_campaignid=17427802703&amp;gbraid=0AAAAADvLFWen83H_P0UCOJpJDdBWxZdsP&amp;gclid=CjwKCAjw857RBhAgEiwAI-1yKNizTIgTGy1dGKtjgZG22C-dQb0-s-HLYzrhsOl6iRaLDHuKrqRmcBoCyxkQAvD_BwE" TargetMode="External"/><Relationship Id="rId10" Type="http://schemas.openxmlformats.org/officeDocument/2006/relationships/hyperlink" Target="https://www.digikey.in/en/products/detail/shenzhen-slkormicro-semicon-co-ltd/USBLC6-2SC6/28143029" TargetMode="External"/><Relationship Id="rId19" Type="http://schemas.openxmlformats.org/officeDocument/2006/relationships/hyperlink" Target="https://robu.in/product/950mah-pcm-protected-micro-li-po-battery/" TargetMode="External"/><Relationship Id="rId4" Type="http://schemas.openxmlformats.org/officeDocument/2006/relationships/hyperlink" Target="https://www.digikey.in/en/products/detail/microchip-technology/MCP1700T-1802E-TT/652671" TargetMode="External"/><Relationship Id="rId9" Type="http://schemas.openxmlformats.org/officeDocument/2006/relationships/hyperlink" Target="https://www.digikey.in/en/products/detail/texas-instruments/TXS0104EPWRG4/1910179" TargetMode="External"/><Relationship Id="rId14" Type="http://schemas.openxmlformats.org/officeDocument/2006/relationships/hyperlink" Target="https://www.digikey.in/en/products/detail/murata-electronics/NCU15XH103F60RC/9686714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in/en/products/detail/shenzhen-slkormicro-semicon-co-ltd/USBLC6-2SC6/28143029" TargetMode="External"/><Relationship Id="rId13" Type="http://schemas.openxmlformats.org/officeDocument/2006/relationships/hyperlink" Target="https://robu.in/product/0402b104j250nt-fh-25v-100nf-x7r%C2%B15-0402-multilayer-ceramic-capacitors-mlcc-smd-smt-rohs/?gad_source=1&amp;gad_campaignid=17427802703&amp;gbraid=0AAAAADvLFWen83H_P0UCOJpJDdBWxZdsP&amp;gclid=CjwKCAjw857RBhAgEiwAI-1yKNizTIgTGy1dGKtjgZG22C-dQb0-s-HLYzrhsOl6iRaLDHuKrqRmcBoCyxkQAvD_BwE" TargetMode="External"/><Relationship Id="rId3" Type="http://schemas.openxmlformats.org/officeDocument/2006/relationships/hyperlink" Target="https://www.digikey.in/en/products/detail/microchip-technology/MCP1700T-1802E-TT/652671" TargetMode="External"/><Relationship Id="rId7" Type="http://schemas.openxmlformats.org/officeDocument/2006/relationships/hyperlink" Target="https://www.digikey.in/en/products/detail/texas-instruments/TXS0104EPWRG4/1910179" TargetMode="External"/><Relationship Id="rId12" Type="http://schemas.openxmlformats.org/officeDocument/2006/relationships/hyperlink" Target="https://www.digikey.in/en/products/detail/murata-electronics/NCU15XH103F60RC/9686714" TargetMode="External"/><Relationship Id="rId17" Type="http://schemas.openxmlformats.org/officeDocument/2006/relationships/hyperlink" Target="https://robu.in/product/950mah-pcm-protected-micro-li-po-battery/" TargetMode="External"/><Relationship Id="rId2" Type="http://schemas.openxmlformats.org/officeDocument/2006/relationships/hyperlink" Target="https://www.digikey.in/en/products/detail/tdk-invensense/MMICT5848-00-012/18634578" TargetMode="External"/><Relationship Id="rId16" Type="http://schemas.openxmlformats.org/officeDocument/2006/relationships/hyperlink" Target="https://robu.in/product/yageo-100k-ohm-1-2w-0805-surface-mount-resistor-pack-of-50/" TargetMode="External"/><Relationship Id="rId1" Type="http://schemas.openxmlformats.org/officeDocument/2006/relationships/hyperlink" Target="https://www.digikey.in/en/products/detail/espressif-systems/ESP32-S3-WROOM-1-N16R8/16162642" TargetMode="External"/><Relationship Id="rId6" Type="http://schemas.openxmlformats.org/officeDocument/2006/relationships/hyperlink" Target="https://www.digikey.in/en/products/detail/texas-instruments/BQ29700DSER/5973173" TargetMode="External"/><Relationship Id="rId11" Type="http://schemas.openxmlformats.org/officeDocument/2006/relationships/hyperlink" Target="https://robu.in/product/xl-1615rgbc-yg-xinglight-smd-4p1-6x1-5mm-rgb-leds-rohs/" TargetMode="External"/><Relationship Id="rId5" Type="http://schemas.openxmlformats.org/officeDocument/2006/relationships/hyperlink" Target="https://www.digikey.in/en/products/detail/texas-instruments/BQ25185DLHR/21769368?s=N4IgTCBcDaIEIEUwFYCMAOZIC6BfIA" TargetMode="External"/><Relationship Id="rId15" Type="http://schemas.openxmlformats.org/officeDocument/2006/relationships/hyperlink" Target="https://www.digikey.in/en/products/detail/diodes-incorporated/DMG2305UX-13/4251560" TargetMode="External"/><Relationship Id="rId10" Type="http://schemas.openxmlformats.org/officeDocument/2006/relationships/hyperlink" Target="https://www.digikey.in/en/products/detail/gct/SWT0220-016016GSA/26753069" TargetMode="External"/><Relationship Id="rId4" Type="http://schemas.openxmlformats.org/officeDocument/2006/relationships/hyperlink" Target="https://www.digikey.in/en/products/detail/diodes-incorporated/AP7365-33WG-7/4249847" TargetMode="External"/><Relationship Id="rId9" Type="http://schemas.openxmlformats.org/officeDocument/2006/relationships/hyperlink" Target="https://www.digikey.in/en/products/detail/same-sky-formerly-cui-devices/UJ20-C-H-G-SMT-1A-P16-TR/28173556" TargetMode="External"/><Relationship Id="rId14" Type="http://schemas.openxmlformats.org/officeDocument/2006/relationships/hyperlink" Target="https://robu.in/product/cc0402mrx5r5bb106-yageo-cap-smd-mlcc-10-%c2%b5f-6-3-v-0402-1005-metric-20-x5r-cc-series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michaelteeuw.nl/post/trying-out-a-barebone-oled-displ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7B80E-24A3-43A0-899D-44B679AFB3F4}">
  <dimension ref="A1:M27"/>
  <sheetViews>
    <sheetView topLeftCell="A16" workbookViewId="0">
      <selection activeCell="F31" sqref="F31"/>
    </sheetView>
  </sheetViews>
  <sheetFormatPr defaultRowHeight="15" x14ac:dyDescent="0.25"/>
  <cols>
    <col min="1" max="1" width="6.5703125" customWidth="1"/>
    <col min="2" max="2" width="31.7109375" customWidth="1"/>
    <col min="3" max="3" width="15.140625" customWidth="1"/>
    <col min="4" max="4" width="18.42578125" customWidth="1"/>
    <col min="5" max="5" width="9.42578125" customWidth="1"/>
    <col min="6" max="6" width="13.85546875" customWidth="1"/>
    <col min="7" max="7" width="36.7109375" customWidth="1"/>
    <col min="8" max="8" width="29.42578125" customWidth="1"/>
    <col min="9" max="9" width="30.28515625" customWidth="1"/>
    <col min="10" max="10" width="15.28515625" customWidth="1"/>
    <col min="11" max="11" width="27.42578125" customWidth="1"/>
  </cols>
  <sheetData>
    <row r="1" spans="1:13" ht="15.75" x14ac:dyDescent="0.25">
      <c r="A1" s="1" t="s">
        <v>9</v>
      </c>
      <c r="B1" s="1" t="s">
        <v>0</v>
      </c>
      <c r="C1" s="1" t="s">
        <v>10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8</v>
      </c>
      <c r="K1" s="1" t="s">
        <v>7</v>
      </c>
      <c r="L1" s="1" t="s">
        <v>16</v>
      </c>
      <c r="M1" s="1" t="s">
        <v>17</v>
      </c>
    </row>
    <row r="2" spans="1:13" ht="45" x14ac:dyDescent="0.25">
      <c r="A2" s="1">
        <v>1</v>
      </c>
      <c r="B2" s="2" t="s">
        <v>11</v>
      </c>
      <c r="C2" s="5" t="s">
        <v>12</v>
      </c>
      <c r="D2" s="1">
        <v>1</v>
      </c>
      <c r="E2" s="1"/>
      <c r="F2" s="1"/>
      <c r="G2" s="2" t="s">
        <v>13</v>
      </c>
      <c r="H2" s="1" t="s">
        <v>14</v>
      </c>
      <c r="I2" t="s">
        <v>11</v>
      </c>
      <c r="J2" s="3" t="s">
        <v>15</v>
      </c>
      <c r="K2" t="s">
        <v>15</v>
      </c>
      <c r="L2" s="4">
        <v>638.89</v>
      </c>
      <c r="M2">
        <f>PRODUCT(D2,L2)</f>
        <v>638.89</v>
      </c>
    </row>
    <row r="3" spans="1:13" ht="45" x14ac:dyDescent="0.25">
      <c r="A3" s="1">
        <v>2</v>
      </c>
      <c r="B3" s="2" t="s">
        <v>18</v>
      </c>
      <c r="C3" s="6" t="s">
        <v>20</v>
      </c>
      <c r="D3" s="1">
        <v>2</v>
      </c>
      <c r="E3" s="1"/>
      <c r="F3" s="1"/>
      <c r="G3" s="2" t="s">
        <v>19</v>
      </c>
      <c r="H3" s="1" t="s">
        <v>21</v>
      </c>
      <c r="I3" t="s">
        <v>18</v>
      </c>
      <c r="J3" s="3" t="s">
        <v>22</v>
      </c>
      <c r="K3" t="s">
        <v>22</v>
      </c>
      <c r="L3" s="4">
        <v>223.99</v>
      </c>
      <c r="M3">
        <f>PRODUCT(D3,L3)</f>
        <v>447.98</v>
      </c>
    </row>
    <row r="4" spans="1:13" ht="63" x14ac:dyDescent="0.25">
      <c r="A4" s="1">
        <v>3</v>
      </c>
      <c r="B4" s="2" t="s">
        <v>23</v>
      </c>
      <c r="C4" s="6" t="s">
        <v>24</v>
      </c>
      <c r="D4" s="1">
        <v>1</v>
      </c>
      <c r="E4" s="1"/>
      <c r="F4" s="1"/>
      <c r="G4" s="2" t="s">
        <v>25</v>
      </c>
      <c r="H4" s="1" t="s">
        <v>26</v>
      </c>
      <c r="J4" s="3"/>
      <c r="K4">
        <v>62312</v>
      </c>
      <c r="L4">
        <v>219</v>
      </c>
      <c r="M4">
        <f t="shared" ref="M4:M21" si="0">PRODUCT(D4,L4)</f>
        <v>219</v>
      </c>
    </row>
    <row r="5" spans="1:13" ht="31.5" x14ac:dyDescent="0.25">
      <c r="A5" s="1">
        <v>4</v>
      </c>
      <c r="B5" s="2" t="s">
        <v>28</v>
      </c>
      <c r="C5" s="6" t="s">
        <v>29</v>
      </c>
      <c r="D5" s="1">
        <v>2</v>
      </c>
      <c r="E5" s="1"/>
      <c r="F5" s="1"/>
      <c r="G5" s="2" t="s">
        <v>30</v>
      </c>
      <c r="H5" s="1" t="s">
        <v>31</v>
      </c>
      <c r="I5" t="s">
        <v>28</v>
      </c>
      <c r="J5" s="3" t="s">
        <v>32</v>
      </c>
      <c r="K5" t="s">
        <v>33</v>
      </c>
      <c r="L5" s="4">
        <v>48.2</v>
      </c>
      <c r="M5">
        <f t="shared" si="0"/>
        <v>96.4</v>
      </c>
    </row>
    <row r="6" spans="1:13" ht="31.5" x14ac:dyDescent="0.25">
      <c r="A6" s="1">
        <v>5</v>
      </c>
      <c r="B6" s="2" t="s">
        <v>34</v>
      </c>
      <c r="C6" s="6" t="s">
        <v>35</v>
      </c>
      <c r="D6" s="1">
        <v>1</v>
      </c>
      <c r="E6" s="1"/>
      <c r="F6" s="1"/>
      <c r="G6" s="2" t="s">
        <v>36</v>
      </c>
      <c r="H6" s="1" t="s">
        <v>37</v>
      </c>
      <c r="I6" t="s">
        <v>34</v>
      </c>
      <c r="J6" s="8" t="s">
        <v>38</v>
      </c>
      <c r="K6" t="s">
        <v>39</v>
      </c>
      <c r="L6" s="4">
        <v>26.46</v>
      </c>
      <c r="M6">
        <f t="shared" si="0"/>
        <v>26.46</v>
      </c>
    </row>
    <row r="7" spans="1:13" ht="31.5" x14ac:dyDescent="0.25">
      <c r="A7" s="1">
        <v>6</v>
      </c>
      <c r="B7" s="2" t="s">
        <v>40</v>
      </c>
      <c r="C7" s="6" t="s">
        <v>41</v>
      </c>
      <c r="D7" s="1">
        <v>1</v>
      </c>
      <c r="E7" s="1"/>
      <c r="F7" s="1"/>
      <c r="G7" s="2" t="s">
        <v>42</v>
      </c>
      <c r="H7" s="1" t="s">
        <v>43</v>
      </c>
      <c r="I7" t="s">
        <v>40</v>
      </c>
      <c r="J7" s="8" t="s">
        <v>44</v>
      </c>
      <c r="K7" t="s">
        <v>45</v>
      </c>
      <c r="L7" s="4">
        <v>215</v>
      </c>
      <c r="M7">
        <f t="shared" si="0"/>
        <v>215</v>
      </c>
    </row>
    <row r="8" spans="1:13" ht="31.5" x14ac:dyDescent="0.25">
      <c r="A8" s="1">
        <v>7</v>
      </c>
      <c r="B8" s="2" t="s">
        <v>46</v>
      </c>
      <c r="C8" s="6" t="s">
        <v>47</v>
      </c>
      <c r="D8" s="1">
        <v>1</v>
      </c>
      <c r="E8" s="1"/>
      <c r="F8" s="1"/>
      <c r="G8" s="2" t="s">
        <v>48</v>
      </c>
      <c r="H8" s="1" t="s">
        <v>43</v>
      </c>
      <c r="I8" t="s">
        <v>46</v>
      </c>
      <c r="J8" s="8" t="s">
        <v>49</v>
      </c>
      <c r="K8" t="s">
        <v>50</v>
      </c>
      <c r="L8" s="4">
        <v>53.87</v>
      </c>
      <c r="M8">
        <f t="shared" si="0"/>
        <v>53.87</v>
      </c>
    </row>
    <row r="9" spans="1:13" ht="31.5" x14ac:dyDescent="0.25">
      <c r="A9" s="1">
        <v>8</v>
      </c>
      <c r="B9" s="3" t="s">
        <v>51</v>
      </c>
      <c r="C9" s="6" t="s">
        <v>52</v>
      </c>
      <c r="D9" s="1">
        <v>1</v>
      </c>
      <c r="G9" s="2" t="s">
        <v>59</v>
      </c>
      <c r="H9" t="s">
        <v>53</v>
      </c>
      <c r="I9" t="s">
        <v>51</v>
      </c>
      <c r="J9" s="8" t="s">
        <v>54</v>
      </c>
      <c r="K9" t="s">
        <v>55</v>
      </c>
      <c r="L9" s="4">
        <v>169.17</v>
      </c>
      <c r="M9">
        <f t="shared" si="0"/>
        <v>169.17</v>
      </c>
    </row>
    <row r="10" spans="1:13" ht="36.75" x14ac:dyDescent="0.25">
      <c r="A10" s="1">
        <v>9</v>
      </c>
      <c r="B10" s="3" t="s">
        <v>56</v>
      </c>
      <c r="C10" s="6" t="s">
        <v>57</v>
      </c>
      <c r="D10" s="1">
        <v>1</v>
      </c>
      <c r="G10" s="1" t="s">
        <v>58</v>
      </c>
      <c r="H10" t="s">
        <v>43</v>
      </c>
      <c r="I10" t="s">
        <v>56</v>
      </c>
      <c r="J10" s="8" t="s">
        <v>60</v>
      </c>
      <c r="K10" t="s">
        <v>61</v>
      </c>
      <c r="L10" s="4">
        <v>102.07</v>
      </c>
      <c r="M10">
        <f t="shared" si="0"/>
        <v>102.07</v>
      </c>
    </row>
    <row r="11" spans="1:13" ht="31.5" x14ac:dyDescent="0.25">
      <c r="A11" s="1">
        <v>10</v>
      </c>
      <c r="B11" s="3" t="s">
        <v>62</v>
      </c>
      <c r="C11" s="6" t="s">
        <v>63</v>
      </c>
      <c r="D11" s="1">
        <v>1</v>
      </c>
      <c r="G11" s="2" t="s">
        <v>64</v>
      </c>
      <c r="H11" t="s">
        <v>65</v>
      </c>
      <c r="I11" t="s">
        <v>62</v>
      </c>
      <c r="J11" s="7" t="s">
        <v>66</v>
      </c>
      <c r="K11" t="s">
        <v>67</v>
      </c>
      <c r="L11" s="4">
        <v>16.07</v>
      </c>
      <c r="M11">
        <f t="shared" si="0"/>
        <v>16.07</v>
      </c>
    </row>
    <row r="12" spans="1:13" ht="31.5" x14ac:dyDescent="0.25">
      <c r="A12" s="1">
        <v>11</v>
      </c>
      <c r="B12" t="s">
        <v>69</v>
      </c>
      <c r="C12" s="6" t="s">
        <v>70</v>
      </c>
      <c r="D12" s="1">
        <v>1</v>
      </c>
      <c r="G12" s="2" t="s">
        <v>71</v>
      </c>
      <c r="H12" t="s">
        <v>72</v>
      </c>
      <c r="I12" t="s">
        <v>69</v>
      </c>
      <c r="K12" t="s">
        <v>73</v>
      </c>
      <c r="L12" s="4">
        <v>36.86</v>
      </c>
      <c r="M12">
        <f t="shared" si="0"/>
        <v>36.86</v>
      </c>
    </row>
    <row r="13" spans="1:13" ht="31.5" x14ac:dyDescent="0.25">
      <c r="A13" s="1">
        <v>12</v>
      </c>
      <c r="B13" t="s">
        <v>84</v>
      </c>
      <c r="C13" s="6" t="s">
        <v>85</v>
      </c>
      <c r="D13" s="1">
        <v>2</v>
      </c>
      <c r="G13" s="2" t="s">
        <v>86</v>
      </c>
      <c r="H13" t="s">
        <v>68</v>
      </c>
      <c r="I13" t="s">
        <v>84</v>
      </c>
      <c r="K13" t="s">
        <v>87</v>
      </c>
      <c r="L13" s="4">
        <v>9.4499999999999993</v>
      </c>
      <c r="M13">
        <f t="shared" si="0"/>
        <v>18.899999999999999</v>
      </c>
    </row>
    <row r="14" spans="1:13" ht="47.25" x14ac:dyDescent="0.25">
      <c r="A14" s="1">
        <v>13</v>
      </c>
      <c r="B14" t="s">
        <v>88</v>
      </c>
      <c r="C14" s="6" t="s">
        <v>89</v>
      </c>
      <c r="D14" s="1">
        <v>3</v>
      </c>
      <c r="G14" s="2" t="s">
        <v>90</v>
      </c>
      <c r="H14" s="13" t="s">
        <v>91</v>
      </c>
      <c r="I14" s="13" t="s">
        <v>92</v>
      </c>
      <c r="K14" t="s">
        <v>90</v>
      </c>
      <c r="L14">
        <v>2.46</v>
      </c>
      <c r="M14">
        <f t="shared" si="0"/>
        <v>7.38</v>
      </c>
    </row>
    <row r="15" spans="1:13" ht="31.5" x14ac:dyDescent="0.25">
      <c r="A15" s="1">
        <v>14</v>
      </c>
      <c r="B15" t="s">
        <v>93</v>
      </c>
      <c r="C15" s="6" t="s">
        <v>94</v>
      </c>
      <c r="D15" s="1">
        <v>1</v>
      </c>
      <c r="G15" s="2" t="s">
        <v>95</v>
      </c>
      <c r="H15" t="s">
        <v>96</v>
      </c>
      <c r="I15" t="s">
        <v>93</v>
      </c>
      <c r="J15" s="7" t="s">
        <v>97</v>
      </c>
      <c r="K15" t="s">
        <v>98</v>
      </c>
      <c r="L15" s="4">
        <v>9.4499999999999993</v>
      </c>
      <c r="M15">
        <f t="shared" si="0"/>
        <v>9.4499999999999993</v>
      </c>
    </row>
    <row r="16" spans="1:13" ht="63" x14ac:dyDescent="0.25">
      <c r="A16" s="1">
        <v>15</v>
      </c>
      <c r="B16" s="14" t="s">
        <v>99</v>
      </c>
      <c r="C16" s="6" t="s">
        <v>100</v>
      </c>
      <c r="D16" s="1">
        <v>15</v>
      </c>
      <c r="E16" t="s">
        <v>103</v>
      </c>
      <c r="G16" s="2" t="s">
        <v>101</v>
      </c>
      <c r="H16" s="13" t="s">
        <v>102</v>
      </c>
      <c r="I16" s="13" t="s">
        <v>99</v>
      </c>
      <c r="J16" s="7" t="s">
        <v>97</v>
      </c>
      <c r="L16" s="4">
        <v>0.35</v>
      </c>
      <c r="M16">
        <f t="shared" si="0"/>
        <v>5.25</v>
      </c>
    </row>
    <row r="17" spans="1:13" ht="63" x14ac:dyDescent="0.25">
      <c r="A17" s="1">
        <v>17</v>
      </c>
      <c r="B17" t="s">
        <v>104</v>
      </c>
      <c r="C17" s="6" t="s">
        <v>105</v>
      </c>
      <c r="D17" s="1">
        <v>8</v>
      </c>
      <c r="E17" t="s">
        <v>106</v>
      </c>
      <c r="G17" s="2" t="s">
        <v>107</v>
      </c>
      <c r="H17" t="s">
        <v>108</v>
      </c>
      <c r="L17" s="4">
        <v>8</v>
      </c>
      <c r="M17">
        <f t="shared" si="0"/>
        <v>64</v>
      </c>
    </row>
    <row r="18" spans="1:13" ht="15.75" x14ac:dyDescent="0.25">
      <c r="A18" s="1">
        <v>18</v>
      </c>
      <c r="B18" t="s">
        <v>109</v>
      </c>
      <c r="C18" s="6" t="s">
        <v>110</v>
      </c>
      <c r="D18" s="1">
        <v>1</v>
      </c>
      <c r="G18" s="2" t="s">
        <v>111</v>
      </c>
      <c r="H18" t="s">
        <v>37</v>
      </c>
      <c r="I18" t="s">
        <v>109</v>
      </c>
      <c r="J18" s="7" t="s">
        <v>32</v>
      </c>
      <c r="K18" t="s">
        <v>112</v>
      </c>
      <c r="L18" s="4">
        <v>33.08</v>
      </c>
      <c r="M18">
        <f t="shared" si="0"/>
        <v>33.08</v>
      </c>
    </row>
    <row r="19" spans="1:13" ht="63" x14ac:dyDescent="0.25">
      <c r="A19" s="1">
        <v>19</v>
      </c>
      <c r="B19" s="14" t="s">
        <v>114</v>
      </c>
      <c r="C19" s="6" t="s">
        <v>115</v>
      </c>
      <c r="D19" s="1">
        <v>2</v>
      </c>
      <c r="E19" s="15" t="s">
        <v>113</v>
      </c>
      <c r="G19" s="2" t="s">
        <v>116</v>
      </c>
      <c r="J19">
        <v>8.0500000000000002E-2</v>
      </c>
      <c r="L19">
        <v>0.8</v>
      </c>
      <c r="M19">
        <f t="shared" si="0"/>
        <v>1.6</v>
      </c>
    </row>
    <row r="20" spans="1:13" ht="15.75" x14ac:dyDescent="0.25">
      <c r="A20" s="1">
        <v>20</v>
      </c>
      <c r="B20" t="s">
        <v>117</v>
      </c>
      <c r="C20" s="6" t="s">
        <v>118</v>
      </c>
      <c r="D20" s="1">
        <v>3</v>
      </c>
      <c r="E20" s="15" t="s">
        <v>119</v>
      </c>
      <c r="G20" t="s">
        <v>120</v>
      </c>
      <c r="H20" t="s">
        <v>121</v>
      </c>
      <c r="L20">
        <v>0.54</v>
      </c>
      <c r="M20">
        <f t="shared" si="0"/>
        <v>1.62</v>
      </c>
    </row>
    <row r="21" spans="1:13" ht="15.75" x14ac:dyDescent="0.25">
      <c r="A21" s="1">
        <v>21</v>
      </c>
      <c r="B21" t="s">
        <v>122</v>
      </c>
      <c r="C21" s="6" t="s">
        <v>123</v>
      </c>
      <c r="D21" s="1">
        <v>1</v>
      </c>
      <c r="E21" t="s">
        <v>124</v>
      </c>
      <c r="G21" t="s">
        <v>125</v>
      </c>
      <c r="H21" t="s">
        <v>126</v>
      </c>
      <c r="L21">
        <v>387</v>
      </c>
      <c r="M21">
        <f t="shared" si="0"/>
        <v>387</v>
      </c>
    </row>
    <row r="22" spans="1:13" ht="15.75" x14ac:dyDescent="0.25">
      <c r="A22" s="1">
        <v>22</v>
      </c>
    </row>
    <row r="23" spans="1:13" ht="15.75" x14ac:dyDescent="0.25">
      <c r="A23" s="1">
        <v>23</v>
      </c>
    </row>
    <row r="24" spans="1:13" ht="15.75" x14ac:dyDescent="0.25">
      <c r="A24" s="1">
        <v>24</v>
      </c>
    </row>
    <row r="25" spans="1:13" ht="15.75" x14ac:dyDescent="0.25">
      <c r="A25" s="1">
        <v>25</v>
      </c>
    </row>
    <row r="26" spans="1:13" ht="15.75" x14ac:dyDescent="0.25">
      <c r="A26" s="1">
        <v>26</v>
      </c>
    </row>
    <row r="27" spans="1:13" ht="18.75" x14ac:dyDescent="0.3">
      <c r="L27" s="12" t="s">
        <v>27</v>
      </c>
      <c r="M27" s="12">
        <f>SUM(M2:M26)</f>
        <v>2550.0499999999993</v>
      </c>
    </row>
  </sheetData>
  <phoneticPr fontId="10" type="noConversion"/>
  <hyperlinks>
    <hyperlink ref="C2" r:id="rId1" xr:uid="{D3CB2FC2-0B1E-4EFE-80F9-3E3AE27E0157}"/>
    <hyperlink ref="C3" r:id="rId2" xr:uid="{02BA965D-3D3F-4C10-9638-D6848AA92B1A}"/>
    <hyperlink ref="C4" r:id="rId3" display="https://robu.in/product/0-91-inch-128x32-i2c-iic-serial-blue-oled-lcd-display-module/?gad_source=1&amp;gad_campaignid=17416544847&amp;gbraid=0AAAAADvLFWfmbNGQtAESE0d4xgU2SYP9F&amp;gclid=CjwKCAjw857RBhAgEiwAI-1yKDo4ALjvME5SADEdUhiSMWYL8KFAapnk1ZLXaEDknRG9EP3y_zMKFxoCjXMQAvD_BwE" xr:uid="{5EA305B5-431D-49D9-A9C0-2055A773E80F}"/>
    <hyperlink ref="C5" r:id="rId4" xr:uid="{481698C7-F0C8-455C-8B58-8670E63292E6}"/>
    <hyperlink ref="C6" r:id="rId5" xr:uid="{BA01E72D-2877-456C-862B-E95BA53F3AC7}"/>
    <hyperlink ref="C7" r:id="rId6" xr:uid="{CF8A7CCC-407B-4A71-B75E-8495918FD4C4}"/>
    <hyperlink ref="C8" r:id="rId7" xr:uid="{FF059315-9A7C-4C1A-8338-D5D8404072AF}"/>
    <hyperlink ref="C9" r:id="rId8" xr:uid="{79757EBE-31E5-4BB1-8ACC-266FAC1BC4BF}"/>
    <hyperlink ref="C10" r:id="rId9" xr:uid="{22DBA582-455C-4E5A-B9AD-CAB1E4DC9556}"/>
    <hyperlink ref="C11" r:id="rId10" xr:uid="{157A6D38-6390-4870-BE7C-9BBF7A06509A}"/>
    <hyperlink ref="C12" r:id="rId11" xr:uid="{89C66112-7CAB-43A9-93EC-2F386F263BD4}"/>
    <hyperlink ref="C13" r:id="rId12" xr:uid="{AC720DDC-A18E-4324-9C03-21D7A53B8124}"/>
    <hyperlink ref="C14" r:id="rId13" xr:uid="{458413A6-AB93-4AAF-9DFB-BCD4D1499B67}"/>
    <hyperlink ref="C15" r:id="rId14" xr:uid="{41802BA8-345E-429E-8331-299899B675DE}"/>
    <hyperlink ref="C16" r:id="rId15" display="https://robu.in/product/0402b104j250nt-fh-25v-100nf-x7r%C2%B15-0402-multilayer-ceramic-capacitors-mlcc-smd-smt-rohs/?gad_source=1&amp;gad_campaignid=17427802703&amp;gbraid=0AAAAADvLFWen83H_P0UCOJpJDdBWxZdsP&amp;gclid=CjwKCAjw857RBhAgEiwAI-1yKNizTIgTGy1dGKtjgZG22C-dQb0-s-HLYzrhsOl6iRaLDHuKrqRmcBoCyxkQAvD_BwE" xr:uid="{373B56E6-1B5D-470D-8C14-243D9587DE49}"/>
    <hyperlink ref="C17" r:id="rId16" xr:uid="{69EF7546-7380-43BF-81F9-BF66D8BB2D7E}"/>
    <hyperlink ref="C18" r:id="rId17" xr:uid="{8EF193EB-3726-4A22-ACB7-451DBA6EA7F4}"/>
    <hyperlink ref="C20" r:id="rId18" xr:uid="{30E40A99-8BCD-4EAF-9587-C17C50F6714E}"/>
    <hyperlink ref="C21" r:id="rId19" xr:uid="{66E7028D-AACD-42D8-82D0-790C07F00D58}"/>
  </hyperlinks>
  <pageMargins left="0.7" right="0.7" top="0.75" bottom="0.75" header="0.3" footer="0.3"/>
  <pageSetup orientation="portrait"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069B-D4CC-48FC-9D13-79FA87BD77DB}">
  <dimension ref="A1:N25"/>
  <sheetViews>
    <sheetView tabSelected="1" workbookViewId="0">
      <selection activeCell="I3" sqref="I3"/>
    </sheetView>
  </sheetViews>
  <sheetFormatPr defaultRowHeight="15" x14ac:dyDescent="0.25"/>
  <cols>
    <col min="1" max="1" width="6.5703125" customWidth="1"/>
    <col min="2" max="2" width="31.7109375" customWidth="1"/>
    <col min="3" max="3" width="15.140625" customWidth="1"/>
    <col min="4" max="4" width="18.42578125" customWidth="1"/>
    <col min="5" max="5" width="9.42578125" customWidth="1"/>
    <col min="6" max="6" width="13.85546875" customWidth="1"/>
    <col min="7" max="7" width="36.7109375" customWidth="1"/>
    <col min="8" max="8" width="29.42578125" customWidth="1"/>
    <col min="9" max="9" width="30.28515625" customWidth="1"/>
    <col min="10" max="10" width="15.28515625" customWidth="1"/>
    <col min="11" max="11" width="27.42578125" customWidth="1"/>
  </cols>
  <sheetData>
    <row r="1" spans="1:14" ht="15.75" x14ac:dyDescent="0.25">
      <c r="A1" s="1" t="s">
        <v>9</v>
      </c>
      <c r="B1" s="1" t="s">
        <v>0</v>
      </c>
      <c r="C1" s="1" t="s">
        <v>10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8</v>
      </c>
      <c r="K1" s="1" t="s">
        <v>7</v>
      </c>
      <c r="L1" s="1" t="s">
        <v>16</v>
      </c>
      <c r="M1" s="1" t="s">
        <v>17</v>
      </c>
    </row>
    <row r="2" spans="1:14" ht="45" x14ac:dyDescent="0.25">
      <c r="A2" s="1">
        <v>1</v>
      </c>
      <c r="B2" s="2" t="s">
        <v>11</v>
      </c>
      <c r="C2" s="5" t="s">
        <v>12</v>
      </c>
      <c r="D2" s="1">
        <v>1</v>
      </c>
      <c r="E2" s="1"/>
      <c r="F2" s="1"/>
      <c r="G2" s="2" t="s">
        <v>13</v>
      </c>
      <c r="H2" s="1" t="s">
        <v>14</v>
      </c>
      <c r="I2" t="s">
        <v>11</v>
      </c>
      <c r="J2" s="3" t="s">
        <v>15</v>
      </c>
      <c r="K2" t="s">
        <v>15</v>
      </c>
      <c r="L2" s="4">
        <v>638.89</v>
      </c>
      <c r="M2">
        <f>PRODUCT(D2,L2)</f>
        <v>638.89</v>
      </c>
    </row>
    <row r="3" spans="1:14" ht="45" x14ac:dyDescent="0.25">
      <c r="A3" s="1">
        <v>2</v>
      </c>
      <c r="B3" s="2" t="s">
        <v>18</v>
      </c>
      <c r="C3" s="6" t="s">
        <v>20</v>
      </c>
      <c r="D3" s="1">
        <v>1</v>
      </c>
      <c r="E3" s="1"/>
      <c r="F3" s="1"/>
      <c r="G3" s="2" t="s">
        <v>19</v>
      </c>
      <c r="H3" s="1" t="s">
        <v>21</v>
      </c>
      <c r="I3" t="s">
        <v>18</v>
      </c>
      <c r="J3" s="3" t="s">
        <v>22</v>
      </c>
      <c r="K3" t="s">
        <v>22</v>
      </c>
      <c r="L3" s="4">
        <v>223.99</v>
      </c>
      <c r="M3">
        <f>PRODUCT(D3,L3)</f>
        <v>223.99</v>
      </c>
    </row>
    <row r="4" spans="1:14" ht="31.5" x14ac:dyDescent="0.25">
      <c r="A4" s="1">
        <v>4</v>
      </c>
      <c r="B4" s="2" t="s">
        <v>28</v>
      </c>
      <c r="C4" s="6" t="s">
        <v>29</v>
      </c>
      <c r="D4" s="1">
        <v>2</v>
      </c>
      <c r="E4" s="1"/>
      <c r="F4" s="1"/>
      <c r="G4" s="2" t="s">
        <v>30</v>
      </c>
      <c r="H4" s="1" t="s">
        <v>31</v>
      </c>
      <c r="I4" t="s">
        <v>28</v>
      </c>
      <c r="J4" s="3" t="s">
        <v>32</v>
      </c>
      <c r="K4" t="s">
        <v>33</v>
      </c>
      <c r="L4" s="4">
        <v>48.2</v>
      </c>
      <c r="M4">
        <f t="shared" ref="M4:M19" si="0">PRODUCT(D4,L4)</f>
        <v>96.4</v>
      </c>
    </row>
    <row r="5" spans="1:14" ht="31.5" x14ac:dyDescent="0.25">
      <c r="A5" s="1">
        <v>5</v>
      </c>
      <c r="B5" s="2" t="s">
        <v>34</v>
      </c>
      <c r="C5" s="6" t="s">
        <v>35</v>
      </c>
      <c r="D5" s="1">
        <v>1</v>
      </c>
      <c r="E5" s="1"/>
      <c r="F5" s="1"/>
      <c r="G5" s="2" t="s">
        <v>36</v>
      </c>
      <c r="H5" s="1" t="s">
        <v>37</v>
      </c>
      <c r="I5" t="s">
        <v>34</v>
      </c>
      <c r="J5" s="8" t="s">
        <v>38</v>
      </c>
      <c r="K5" t="s">
        <v>39</v>
      </c>
      <c r="L5" s="4">
        <v>26.46</v>
      </c>
      <c r="M5">
        <f t="shared" si="0"/>
        <v>26.46</v>
      </c>
    </row>
    <row r="6" spans="1:14" ht="31.5" x14ac:dyDescent="0.25">
      <c r="A6" s="1">
        <v>6</v>
      </c>
      <c r="B6" s="2" t="s">
        <v>40</v>
      </c>
      <c r="C6" s="6" t="s">
        <v>41</v>
      </c>
      <c r="D6" s="1">
        <v>1</v>
      </c>
      <c r="E6" s="1"/>
      <c r="F6" s="1"/>
      <c r="G6" s="2" t="s">
        <v>42</v>
      </c>
      <c r="H6" s="1" t="s">
        <v>43</v>
      </c>
      <c r="I6" t="s">
        <v>40</v>
      </c>
      <c r="J6" s="8" t="s">
        <v>44</v>
      </c>
      <c r="K6" t="s">
        <v>45</v>
      </c>
      <c r="L6" s="4">
        <v>215</v>
      </c>
      <c r="M6">
        <f t="shared" si="0"/>
        <v>215</v>
      </c>
    </row>
    <row r="7" spans="1:14" ht="15.75" x14ac:dyDescent="0.25">
      <c r="A7" s="1">
        <v>7</v>
      </c>
      <c r="B7" s="2" t="s">
        <v>46</v>
      </c>
      <c r="C7" s="6" t="s">
        <v>47</v>
      </c>
      <c r="D7" s="1">
        <v>1</v>
      </c>
      <c r="E7" s="1"/>
      <c r="F7" s="1"/>
      <c r="G7" s="18" t="s">
        <v>48</v>
      </c>
      <c r="H7" s="1" t="s">
        <v>43</v>
      </c>
      <c r="I7" t="s">
        <v>46</v>
      </c>
      <c r="J7" s="8" t="s">
        <v>49</v>
      </c>
      <c r="K7" t="s">
        <v>50</v>
      </c>
      <c r="L7" s="4">
        <v>53.87</v>
      </c>
      <c r="M7">
        <f t="shared" si="0"/>
        <v>53.87</v>
      </c>
    </row>
    <row r="8" spans="1:14" ht="36.75" x14ac:dyDescent="0.25">
      <c r="A8" s="1">
        <v>9</v>
      </c>
      <c r="B8" s="3" t="s">
        <v>56</v>
      </c>
      <c r="C8" s="6" t="s">
        <v>57</v>
      </c>
      <c r="D8" s="1">
        <v>1</v>
      </c>
      <c r="G8" s="16" t="s">
        <v>58</v>
      </c>
      <c r="H8" t="s">
        <v>43</v>
      </c>
      <c r="I8" t="s">
        <v>56</v>
      </c>
      <c r="J8" s="8" t="s">
        <v>60</v>
      </c>
      <c r="K8" t="s">
        <v>61</v>
      </c>
      <c r="L8" s="4">
        <v>102.07</v>
      </c>
      <c r="M8">
        <f t="shared" si="0"/>
        <v>102.07</v>
      </c>
      <c r="N8" t="s">
        <v>127</v>
      </c>
    </row>
    <row r="9" spans="1:14" ht="31.5" x14ac:dyDescent="0.25">
      <c r="A9" s="1">
        <v>10</v>
      </c>
      <c r="B9" s="3" t="s">
        <v>62</v>
      </c>
      <c r="C9" s="6" t="s">
        <v>63</v>
      </c>
      <c r="D9" s="1">
        <v>1</v>
      </c>
      <c r="G9" s="2" t="s">
        <v>64</v>
      </c>
      <c r="H9" t="s">
        <v>65</v>
      </c>
      <c r="I9" t="s">
        <v>62</v>
      </c>
      <c r="J9" s="7" t="s">
        <v>66</v>
      </c>
      <c r="K9" t="s">
        <v>67</v>
      </c>
      <c r="L9" s="4">
        <v>16.07</v>
      </c>
      <c r="M9">
        <f t="shared" si="0"/>
        <v>16.07</v>
      </c>
    </row>
    <row r="10" spans="1:14" ht="31.5" x14ac:dyDescent="0.25">
      <c r="A10" s="1">
        <v>11</v>
      </c>
      <c r="B10" t="s">
        <v>69</v>
      </c>
      <c r="C10" s="6" t="s">
        <v>70</v>
      </c>
      <c r="D10" s="1">
        <v>1</v>
      </c>
      <c r="G10" s="2" t="s">
        <v>71</v>
      </c>
      <c r="H10" t="s">
        <v>72</v>
      </c>
      <c r="I10" t="s">
        <v>69</v>
      </c>
      <c r="K10" t="s">
        <v>73</v>
      </c>
      <c r="L10" s="4">
        <v>36.86</v>
      </c>
      <c r="M10">
        <f t="shared" si="0"/>
        <v>36.86</v>
      </c>
    </row>
    <row r="11" spans="1:14" ht="31.5" x14ac:dyDescent="0.25">
      <c r="A11" s="1">
        <v>12</v>
      </c>
      <c r="B11" t="s">
        <v>84</v>
      </c>
      <c r="C11" s="6" t="s">
        <v>85</v>
      </c>
      <c r="D11" s="1">
        <v>2</v>
      </c>
      <c r="G11" s="2" t="s">
        <v>86</v>
      </c>
      <c r="H11" t="s">
        <v>68</v>
      </c>
      <c r="I11" t="s">
        <v>84</v>
      </c>
      <c r="K11" t="s">
        <v>87</v>
      </c>
      <c r="L11" s="4">
        <v>9.4499999999999993</v>
      </c>
      <c r="M11">
        <f t="shared" si="0"/>
        <v>18.899999999999999</v>
      </c>
    </row>
    <row r="12" spans="1:14" ht="47.25" x14ac:dyDescent="0.25">
      <c r="A12" s="1">
        <v>13</v>
      </c>
      <c r="B12" t="s">
        <v>88</v>
      </c>
      <c r="C12" s="6" t="s">
        <v>89</v>
      </c>
      <c r="D12" s="1">
        <v>3</v>
      </c>
      <c r="G12" s="2" t="s">
        <v>90</v>
      </c>
      <c r="H12" s="13" t="s">
        <v>91</v>
      </c>
      <c r="I12" s="13" t="s">
        <v>92</v>
      </c>
      <c r="K12" t="s">
        <v>90</v>
      </c>
      <c r="L12">
        <v>2.46</v>
      </c>
      <c r="M12">
        <f t="shared" si="0"/>
        <v>7.38</v>
      </c>
    </row>
    <row r="13" spans="1:14" ht="31.5" x14ac:dyDescent="0.25">
      <c r="A13" s="1">
        <v>14</v>
      </c>
      <c r="B13" t="s">
        <v>93</v>
      </c>
      <c r="C13" s="6" t="s">
        <v>94</v>
      </c>
      <c r="D13" s="1">
        <v>1</v>
      </c>
      <c r="G13" s="2" t="s">
        <v>95</v>
      </c>
      <c r="H13" t="s">
        <v>96</v>
      </c>
      <c r="I13" t="s">
        <v>93</v>
      </c>
      <c r="J13" s="7" t="s">
        <v>97</v>
      </c>
      <c r="K13" t="s">
        <v>98</v>
      </c>
      <c r="L13" s="4">
        <v>9.4499999999999993</v>
      </c>
      <c r="M13">
        <f t="shared" si="0"/>
        <v>9.4499999999999993</v>
      </c>
    </row>
    <row r="14" spans="1:14" ht="45" x14ac:dyDescent="0.25">
      <c r="A14" s="1">
        <v>15</v>
      </c>
      <c r="B14" s="14" t="s">
        <v>99</v>
      </c>
      <c r="C14" s="6" t="s">
        <v>100</v>
      </c>
      <c r="D14" s="1">
        <v>15</v>
      </c>
      <c r="E14" t="s">
        <v>103</v>
      </c>
      <c r="G14" s="17" t="s">
        <v>101</v>
      </c>
      <c r="H14" s="13" t="s">
        <v>102</v>
      </c>
      <c r="I14" s="13" t="s">
        <v>99</v>
      </c>
      <c r="J14" s="7" t="s">
        <v>97</v>
      </c>
      <c r="L14" s="4">
        <v>0.35</v>
      </c>
      <c r="M14">
        <f t="shared" si="0"/>
        <v>5.25</v>
      </c>
      <c r="N14" t="s">
        <v>128</v>
      </c>
    </row>
    <row r="15" spans="1:14" ht="63" x14ac:dyDescent="0.25">
      <c r="A15" s="1">
        <v>17</v>
      </c>
      <c r="B15" t="s">
        <v>104</v>
      </c>
      <c r="C15" s="6" t="s">
        <v>105</v>
      </c>
      <c r="D15" s="1">
        <v>8</v>
      </c>
      <c r="E15" t="s">
        <v>106</v>
      </c>
      <c r="G15" s="2" t="s">
        <v>107</v>
      </c>
      <c r="H15" t="s">
        <v>108</v>
      </c>
      <c r="L15" s="4">
        <v>8</v>
      </c>
      <c r="M15">
        <f t="shared" si="0"/>
        <v>64</v>
      </c>
    </row>
    <row r="16" spans="1:14" ht="15.75" x14ac:dyDescent="0.25">
      <c r="A16" s="1">
        <v>18</v>
      </c>
      <c r="B16" t="s">
        <v>109</v>
      </c>
      <c r="C16" s="6" t="s">
        <v>110</v>
      </c>
      <c r="D16" s="1">
        <v>1</v>
      </c>
      <c r="G16" s="2" t="s">
        <v>111</v>
      </c>
      <c r="H16" t="s">
        <v>37</v>
      </c>
      <c r="I16" t="s">
        <v>109</v>
      </c>
      <c r="J16" s="7" t="s">
        <v>32</v>
      </c>
      <c r="K16" t="s">
        <v>112</v>
      </c>
      <c r="L16" s="4">
        <v>33.08</v>
      </c>
      <c r="M16">
        <f t="shared" si="0"/>
        <v>33.08</v>
      </c>
    </row>
    <row r="17" spans="1:13" ht="63" x14ac:dyDescent="0.25">
      <c r="A17" s="1">
        <v>19</v>
      </c>
      <c r="B17" s="14" t="s">
        <v>114</v>
      </c>
      <c r="C17" s="6" t="s">
        <v>115</v>
      </c>
      <c r="D17" s="1">
        <v>2</v>
      </c>
      <c r="E17" s="15" t="s">
        <v>113</v>
      </c>
      <c r="G17" s="2" t="s">
        <v>116</v>
      </c>
      <c r="J17">
        <v>8.0500000000000002E-2</v>
      </c>
      <c r="L17">
        <v>0.8</v>
      </c>
      <c r="M17">
        <f t="shared" si="0"/>
        <v>1.6</v>
      </c>
    </row>
    <row r="18" spans="1:13" ht="15.75" x14ac:dyDescent="0.25">
      <c r="A18" s="1">
        <v>20</v>
      </c>
      <c r="B18" t="s">
        <v>117</v>
      </c>
      <c r="C18" s="6" t="s">
        <v>118</v>
      </c>
      <c r="D18" s="1">
        <v>3</v>
      </c>
      <c r="E18" s="15" t="s">
        <v>119</v>
      </c>
      <c r="G18" t="s">
        <v>120</v>
      </c>
      <c r="H18" t="s">
        <v>121</v>
      </c>
      <c r="L18">
        <v>0.54</v>
      </c>
      <c r="M18">
        <f t="shared" si="0"/>
        <v>1.62</v>
      </c>
    </row>
    <row r="19" spans="1:13" ht="15.75" x14ac:dyDescent="0.25">
      <c r="A19" s="1">
        <v>21</v>
      </c>
      <c r="B19" t="s">
        <v>122</v>
      </c>
      <c r="C19" s="6" t="s">
        <v>123</v>
      </c>
      <c r="D19" s="1">
        <v>1</v>
      </c>
      <c r="E19" t="s">
        <v>124</v>
      </c>
      <c r="G19" t="s">
        <v>125</v>
      </c>
      <c r="H19" t="s">
        <v>126</v>
      </c>
      <c r="L19">
        <v>387</v>
      </c>
      <c r="M19">
        <f t="shared" si="0"/>
        <v>387</v>
      </c>
    </row>
    <row r="20" spans="1:13" ht="15.75" x14ac:dyDescent="0.25">
      <c r="A20" s="1">
        <v>22</v>
      </c>
    </row>
    <row r="21" spans="1:13" ht="15.75" x14ac:dyDescent="0.25">
      <c r="A21" s="1">
        <v>23</v>
      </c>
    </row>
    <row r="22" spans="1:13" ht="15.75" x14ac:dyDescent="0.25">
      <c r="A22" s="1">
        <v>24</v>
      </c>
    </row>
    <row r="23" spans="1:13" ht="15.75" x14ac:dyDescent="0.25">
      <c r="A23" s="1">
        <v>25</v>
      </c>
    </row>
    <row r="24" spans="1:13" ht="15.75" x14ac:dyDescent="0.25">
      <c r="A24" s="1">
        <v>26</v>
      </c>
    </row>
    <row r="25" spans="1:13" ht="18.75" x14ac:dyDescent="0.3">
      <c r="L25" s="12" t="s">
        <v>27</v>
      </c>
      <c r="M25" s="12">
        <f>SUM(M2:M24)</f>
        <v>1937.8899999999996</v>
      </c>
    </row>
  </sheetData>
  <hyperlinks>
    <hyperlink ref="C2" r:id="rId1" xr:uid="{05D81A0D-2E60-450B-9CC8-22333CE77BA3}"/>
    <hyperlink ref="C3" r:id="rId2" xr:uid="{DEFF4FE6-F0C4-4A5A-8C51-73033BD5D248}"/>
    <hyperlink ref="C4" r:id="rId3" xr:uid="{BBED0FB0-01E8-43C9-A1A4-45E03FCE95E0}"/>
    <hyperlink ref="C5" r:id="rId4" xr:uid="{5984C3D6-4121-41BF-9AD0-F777861895AC}"/>
    <hyperlink ref="C6" r:id="rId5" xr:uid="{480990C4-903E-4BAB-B186-9D7D596C380E}"/>
    <hyperlink ref="C7" r:id="rId6" xr:uid="{E0A76EC8-94C7-4EA6-85AD-E1893D1ECF1D}"/>
    <hyperlink ref="C8" r:id="rId7" xr:uid="{EE6A342D-864E-465D-AD7B-33F6FA4A3E86}"/>
    <hyperlink ref="C9" r:id="rId8" xr:uid="{CA98CC88-DC6D-4C2B-8AFE-4E8EDED8B988}"/>
    <hyperlink ref="C10" r:id="rId9" xr:uid="{42151862-7B2D-4747-B820-7BED05B8D422}"/>
    <hyperlink ref="C11" r:id="rId10" xr:uid="{12BBBB51-E7D3-4739-B362-813829232B3A}"/>
    <hyperlink ref="C12" r:id="rId11" xr:uid="{BE3995D3-DD2E-46E7-89CB-258C74FD38B7}"/>
    <hyperlink ref="C13" r:id="rId12" xr:uid="{B48EECE9-53D9-4EAC-B002-4471B77CD8AA}"/>
    <hyperlink ref="C14" r:id="rId13" display="https://robu.in/product/0402b104j250nt-fh-25v-100nf-x7r%C2%B15-0402-multilayer-ceramic-capacitors-mlcc-smd-smt-rohs/?gad_source=1&amp;gad_campaignid=17427802703&amp;gbraid=0AAAAADvLFWen83H_P0UCOJpJDdBWxZdsP&amp;gclid=CjwKCAjw857RBhAgEiwAI-1yKNizTIgTGy1dGKtjgZG22C-dQb0-s-HLYzrhsOl6iRaLDHuKrqRmcBoCyxkQAvD_BwE" xr:uid="{2925589A-E0B5-4A1A-AC80-F747B8D6D90B}"/>
    <hyperlink ref="C15" r:id="rId14" xr:uid="{AC9A37F4-F19B-4451-BAC1-18CC35097072}"/>
    <hyperlink ref="C16" r:id="rId15" xr:uid="{9550407C-3564-43AE-AFE2-9D84BA417861}"/>
    <hyperlink ref="C18" r:id="rId16" xr:uid="{BAA0AC43-1D25-4804-8301-5C7271BFD9E3}"/>
    <hyperlink ref="C19" r:id="rId17" xr:uid="{D85BD78A-A0A0-40C0-B3EF-CCEA4C41CFE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416C2-5929-44C6-A439-5C70B3B70CF5}">
  <dimension ref="A1:M28"/>
  <sheetViews>
    <sheetView workbookViewId="0">
      <selection activeCell="M21" sqref="L21:M21"/>
    </sheetView>
  </sheetViews>
  <sheetFormatPr defaultRowHeight="15" x14ac:dyDescent="0.25"/>
  <cols>
    <col min="1" max="1" width="6.5703125" customWidth="1"/>
    <col min="2" max="2" width="31.7109375" customWidth="1"/>
    <col min="3" max="3" width="15.140625" customWidth="1"/>
    <col min="4" max="4" width="18.42578125" customWidth="1"/>
    <col min="5" max="5" width="9.42578125" customWidth="1"/>
    <col min="6" max="6" width="13.85546875" customWidth="1"/>
    <col min="7" max="7" width="36.7109375" customWidth="1"/>
    <col min="8" max="8" width="29.42578125" customWidth="1"/>
    <col min="9" max="9" width="30.28515625" customWidth="1"/>
    <col min="10" max="10" width="15.28515625" customWidth="1"/>
    <col min="11" max="11" width="27.42578125" customWidth="1"/>
    <col min="12" max="12" width="12.140625" customWidth="1"/>
  </cols>
  <sheetData>
    <row r="1" spans="1:13" ht="15.75" x14ac:dyDescent="0.25">
      <c r="A1" s="1" t="s">
        <v>9</v>
      </c>
      <c r="B1" s="1" t="s">
        <v>0</v>
      </c>
      <c r="C1" s="1" t="s">
        <v>10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8</v>
      </c>
      <c r="K1" s="1" t="s">
        <v>7</v>
      </c>
      <c r="L1" s="1" t="s">
        <v>16</v>
      </c>
      <c r="M1" s="1" t="s">
        <v>17</v>
      </c>
    </row>
    <row r="2" spans="1:13" ht="31.5" x14ac:dyDescent="0.25">
      <c r="A2" s="1">
        <v>1</v>
      </c>
      <c r="B2" s="2" t="s">
        <v>74</v>
      </c>
      <c r="C2" s="5" t="s">
        <v>75</v>
      </c>
      <c r="D2" s="1">
        <v>1</v>
      </c>
      <c r="E2" s="1"/>
      <c r="F2" s="1"/>
      <c r="G2" s="2" t="s">
        <v>76</v>
      </c>
      <c r="H2" s="1" t="s">
        <v>77</v>
      </c>
      <c r="I2" t="s">
        <v>78</v>
      </c>
      <c r="J2" s="3" t="s">
        <v>78</v>
      </c>
      <c r="K2" t="s">
        <v>78</v>
      </c>
      <c r="L2" s="4">
        <v>106</v>
      </c>
      <c r="M2">
        <f>PRODUCT(D2,L2)</f>
        <v>106</v>
      </c>
    </row>
    <row r="3" spans="1:13" ht="45.75" x14ac:dyDescent="0.25">
      <c r="A3" s="1">
        <v>2</v>
      </c>
      <c r="B3" s="2" t="s">
        <v>79</v>
      </c>
      <c r="C3" s="5" t="s">
        <v>80</v>
      </c>
      <c r="D3" s="1">
        <v>1</v>
      </c>
      <c r="E3" s="1"/>
      <c r="F3" s="1"/>
      <c r="G3" s="9" t="s">
        <v>81</v>
      </c>
      <c r="H3" s="1" t="s">
        <v>68</v>
      </c>
      <c r="I3" t="s">
        <v>79</v>
      </c>
      <c r="J3" s="3"/>
      <c r="K3" s="10" t="s">
        <v>82</v>
      </c>
      <c r="L3" s="4">
        <v>44.73</v>
      </c>
      <c r="M3">
        <f>PRODUCT(D3,L3)</f>
        <v>44.73</v>
      </c>
    </row>
    <row r="21" spans="2:13" ht="18.75" x14ac:dyDescent="0.3">
      <c r="L21" s="11" t="s">
        <v>27</v>
      </c>
      <c r="M21" s="11">
        <f>SUM(M2:M20)</f>
        <v>150.72999999999999</v>
      </c>
    </row>
    <row r="28" spans="2:13" x14ac:dyDescent="0.25">
      <c r="B28" s="6" t="s">
        <v>83</v>
      </c>
    </row>
  </sheetData>
  <hyperlinks>
    <hyperlink ref="B28" r:id="rId1" xr:uid="{1E23AB5E-5D68-4879-8940-5B126A77B23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cost effective</vt:lpstr>
      <vt:lpstr>Considerations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Krishna</dc:creator>
  <cp:lastModifiedBy>Rishi Krishna</cp:lastModifiedBy>
  <cp:lastPrinted>2026-06-10T06:42:53Z</cp:lastPrinted>
  <dcterms:created xsi:type="dcterms:W3CDTF">2026-06-08T10:36:18Z</dcterms:created>
  <dcterms:modified xsi:type="dcterms:W3CDTF">2026-06-15T12:59:00Z</dcterms:modified>
</cp:coreProperties>
</file>